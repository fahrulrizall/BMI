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izal\OneDrive - bumblebeeseafoods\Documents\"/>
    </mc:Choice>
  </mc:AlternateContent>
  <xr:revisionPtr revIDLastSave="0" documentId="13_ncr:1_{A9A9B68A-4BA2-4B24-B228-69EC7636C8FC}" xr6:coauthVersionLast="44" xr6:coauthVersionMax="44" xr10:uidLastSave="{00000000-0000-0000-0000-000000000000}"/>
  <bookViews>
    <workbookView xWindow="28680" yWindow="-120" windowWidth="20730" windowHeight="11160" activeTab="1" xr2:uid="{00000000-000D-0000-FFFF-FFFF00000000}"/>
  </bookViews>
  <sheets>
    <sheet name="SAP STOK" sheetId="1" r:id="rId1"/>
    <sheet name="Perbandingan" sheetId="3" r:id="rId2"/>
  </sheets>
  <definedNames>
    <definedName name="_xlnm._FilterDatabase" localSheetId="0" hidden="1">'SAP STOK'!$A$1:$X$34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" i="3" l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" i="3"/>
  <c r="H6" i="3"/>
  <c r="H5" i="3"/>
  <c r="H4" i="3"/>
  <c r="H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" i="3"/>
</calcChain>
</file>

<file path=xl/sharedStrings.xml><?xml version="1.0" encoding="utf-8"?>
<sst xmlns="http://schemas.openxmlformats.org/spreadsheetml/2006/main" count="437" uniqueCount="64">
  <si>
    <t>107279</t>
  </si>
  <si>
    <t>3770</t>
  </si>
  <si>
    <t/>
  </si>
  <si>
    <t>LB</t>
  </si>
  <si>
    <t>USD</t>
  </si>
  <si>
    <t>107496</t>
  </si>
  <si>
    <t>108591</t>
  </si>
  <si>
    <t>108592</t>
  </si>
  <si>
    <t>108593</t>
  </si>
  <si>
    <t>4149828432</t>
  </si>
  <si>
    <t>09203UTHFM</t>
  </si>
  <si>
    <t>CS</t>
  </si>
  <si>
    <t>09338UTHPG</t>
  </si>
  <si>
    <t>09339UTHPG</t>
  </si>
  <si>
    <t>5384909093</t>
  </si>
  <si>
    <t>09221UTHKI</t>
  </si>
  <si>
    <t>09424UTHFM</t>
  </si>
  <si>
    <t>09425UTHFM</t>
  </si>
  <si>
    <t>5384909147</t>
  </si>
  <si>
    <t>5384909148</t>
  </si>
  <si>
    <t>5384909217</t>
  </si>
  <si>
    <t>5384909238</t>
  </si>
  <si>
    <t>09381UTHPG</t>
  </si>
  <si>
    <t>09205UTHKI</t>
  </si>
  <si>
    <t>5384909243</t>
  </si>
  <si>
    <t>09206UTHKI</t>
  </si>
  <si>
    <t>5384909309</t>
  </si>
  <si>
    <t>5384909310</t>
  </si>
  <si>
    <t>09207UTHKI</t>
  </si>
  <si>
    <t>5384909526</t>
  </si>
  <si>
    <t>7874231465</t>
  </si>
  <si>
    <t>09261UTHKI</t>
  </si>
  <si>
    <t>8907654251</t>
  </si>
  <si>
    <t>Material</t>
  </si>
  <si>
    <t>Plant</t>
  </si>
  <si>
    <t>Storage Location</t>
  </si>
  <si>
    <t>Special Stock</t>
  </si>
  <si>
    <t>Spec. Stk Valuation</t>
  </si>
  <si>
    <t>Special stock number</t>
  </si>
  <si>
    <t>DF stor. loc. level</t>
  </si>
  <si>
    <t>Batch</t>
  </si>
  <si>
    <t>Base Unit of Measure</t>
  </si>
  <si>
    <t>Unrestricted</t>
  </si>
  <si>
    <t>Currency</t>
  </si>
  <si>
    <t>Value Unrestricted</t>
  </si>
  <si>
    <t>Transit and Transfer</t>
  </si>
  <si>
    <t>Val. in Trans./Tfr</t>
  </si>
  <si>
    <t>In Quality Insp.</t>
  </si>
  <si>
    <t>Value in QualInsp.</t>
  </si>
  <si>
    <t>Restricted-Use Stock</t>
  </si>
  <si>
    <t>Value Restricted</t>
  </si>
  <si>
    <t>Blocked</t>
  </si>
  <si>
    <t>Value BlockedStock</t>
  </si>
  <si>
    <t>Returns</t>
  </si>
  <si>
    <t>Value Rets Blocked</t>
  </si>
  <si>
    <t>Vendor I/T Qty</t>
  </si>
  <si>
    <t>Vendor I/T Value</t>
  </si>
  <si>
    <t>PERBEDAAN</t>
  </si>
  <si>
    <t>BATCH</t>
  </si>
  <si>
    <t>BELUM DI INPUT KE SAP</t>
  </si>
  <si>
    <t>TOTAL</t>
  </si>
  <si>
    <t>GFF REPORT</t>
  </si>
  <si>
    <t>REPORT SAP</t>
  </si>
  <si>
    <t>Adj-Jan20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</si>
</sst>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4" borderId="0" xfId="0" applyFill="1" applyAlignment="1">
      <alignment vertical="top"/>
    </xf>
    <xf numFmtId="3" fontId="0" fillId="4" borderId="0" xfId="0" applyNumberFormat="1" applyFill="1" applyAlignment="1">
      <alignment horizontal="right" vertical="top"/>
    </xf>
    <xf numFmtId="0" fontId="0" fillId="6" borderId="0" xfId="0" applyFill="1" applyAlignment="1">
      <alignment vertical="top"/>
    </xf>
    <xf numFmtId="0" fontId="0" fillId="4" borderId="0" xfId="0" applyFill="1" applyAlignment="1">
      <alignment horizontal="center" vertical="top"/>
    </xf>
    <xf numFmtId="0" fontId="0" fillId="5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"/>
  <sheetViews>
    <sheetView topLeftCell="A25" workbookViewId="0">
      <selection activeCell="G11" sqref="G11"/>
    </sheetView>
  </sheetViews>
  <sheetFormatPr defaultRowHeight="12.5" x14ac:dyDescent="0.25"/>
  <cols>
    <col min="1" max="1" width="12" bestFit="1" customWidth="1"/>
    <col min="2" max="2" width="7" bestFit="1" customWidth="1"/>
    <col min="3" max="3" width="6" bestFit="1" customWidth="1"/>
    <col min="4" max="4" width="15" customWidth="1"/>
    <col min="5" max="5" width="21" customWidth="1"/>
    <col min="6" max="6" width="22" customWidth="1"/>
    <col min="7" max="7" width="21" customWidth="1"/>
    <col min="8" max="8" width="12" bestFit="1" customWidth="1"/>
    <col min="9" max="9" width="13" bestFit="1" customWidth="1"/>
    <col min="10" max="10" width="14" bestFit="1" customWidth="1"/>
    <col min="11" max="11" width="10" bestFit="1" customWidth="1"/>
    <col min="12" max="12" width="20" bestFit="1" customWidth="1"/>
    <col min="13" max="13" width="14" bestFit="1" customWidth="1"/>
    <col min="14" max="14" width="6" bestFit="1" customWidth="1"/>
    <col min="15" max="15" width="7" bestFit="1" customWidth="1"/>
    <col min="16" max="16" width="6" bestFit="1" customWidth="1"/>
    <col min="17" max="17" width="7" bestFit="1" customWidth="1"/>
    <col min="18" max="18" width="6" bestFit="1" customWidth="1"/>
    <col min="19" max="19" width="9" bestFit="1" customWidth="1"/>
    <col min="20" max="20" width="6" bestFit="1" customWidth="1"/>
    <col min="21" max="21" width="9" bestFit="1" customWidth="1"/>
    <col min="22" max="22" width="6" bestFit="1" customWidth="1"/>
    <col min="23" max="23" width="16" bestFit="1" customWidth="1"/>
    <col min="24" max="24" width="18" bestFit="1" customWidth="1"/>
  </cols>
  <sheetData>
    <row r="1" spans="1:24" ht="50" x14ac:dyDescent="0.25">
      <c r="A1" s="1" t="s">
        <v>33</v>
      </c>
      <c r="B1" s="1" t="s">
        <v>34</v>
      </c>
      <c r="C1" s="8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8" t="s">
        <v>41</v>
      </c>
      <c r="J1" s="1" t="s">
        <v>42</v>
      </c>
      <c r="K1" s="1" t="s">
        <v>43</v>
      </c>
      <c r="L1" s="1" t="s">
        <v>44</v>
      </c>
      <c r="M1" s="8" t="s">
        <v>45</v>
      </c>
      <c r="N1" s="8" t="s">
        <v>46</v>
      </c>
      <c r="O1" s="8" t="s">
        <v>47</v>
      </c>
      <c r="P1" s="8" t="s">
        <v>48</v>
      </c>
      <c r="Q1" s="8" t="s">
        <v>49</v>
      </c>
      <c r="R1" s="8" t="s">
        <v>50</v>
      </c>
      <c r="S1" s="1" t="s">
        <v>51</v>
      </c>
      <c r="T1" s="8" t="s">
        <v>52</v>
      </c>
      <c r="U1" s="1" t="s">
        <v>53</v>
      </c>
      <c r="V1" s="8" t="s">
        <v>54</v>
      </c>
      <c r="W1" s="1" t="s">
        <v>55</v>
      </c>
      <c r="X1" s="1" t="s">
        <v>56</v>
      </c>
    </row>
    <row r="2" spans="1:24" x14ac:dyDescent="0.25">
      <c r="A2" t="s">
        <v>0</v>
      </c>
      <c r="B2" t="s">
        <v>1</v>
      </c>
      <c r="C2" t="s">
        <v>1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3</v>
      </c>
      <c r="J2" s="2">
        <v>2097.1379999999999</v>
      </c>
      <c r="K2" t="s">
        <v>4</v>
      </c>
      <c r="L2" s="3">
        <v>6187.11</v>
      </c>
      <c r="M2" s="3">
        <v>0</v>
      </c>
      <c r="N2" s="3">
        <v>0</v>
      </c>
      <c r="O2" s="2">
        <v>0</v>
      </c>
      <c r="P2" s="3">
        <v>0</v>
      </c>
      <c r="Q2" s="2">
        <v>0</v>
      </c>
      <c r="R2" s="3">
        <v>0</v>
      </c>
      <c r="S2" s="2">
        <v>0</v>
      </c>
      <c r="T2" s="3">
        <v>0</v>
      </c>
      <c r="U2" s="2">
        <v>0</v>
      </c>
      <c r="V2" s="3">
        <v>0</v>
      </c>
      <c r="W2" s="2">
        <v>0</v>
      </c>
      <c r="X2" s="3">
        <v>0</v>
      </c>
    </row>
    <row r="3" spans="1:24" x14ac:dyDescent="0.25">
      <c r="A3" t="s">
        <v>5</v>
      </c>
      <c r="B3" t="s">
        <v>1</v>
      </c>
      <c r="C3" t="s">
        <v>1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3</v>
      </c>
      <c r="J3" s="2">
        <v>0</v>
      </c>
      <c r="K3" t="s">
        <v>4</v>
      </c>
      <c r="L3" s="3">
        <v>0</v>
      </c>
      <c r="M3" s="3">
        <v>0</v>
      </c>
      <c r="N3" s="3">
        <v>0</v>
      </c>
      <c r="O3" s="2">
        <v>0</v>
      </c>
      <c r="P3" s="3">
        <v>0</v>
      </c>
      <c r="Q3" s="2">
        <v>0</v>
      </c>
      <c r="R3" s="3">
        <v>0</v>
      </c>
      <c r="S3" s="2">
        <v>0</v>
      </c>
      <c r="T3" s="3">
        <v>0</v>
      </c>
      <c r="U3" s="2">
        <v>0</v>
      </c>
      <c r="V3" s="3">
        <v>0</v>
      </c>
      <c r="W3" s="2">
        <v>1E-3</v>
      </c>
      <c r="X3" s="3">
        <v>0</v>
      </c>
    </row>
    <row r="4" spans="1:24" x14ac:dyDescent="0.25">
      <c r="A4" t="s">
        <v>5</v>
      </c>
      <c r="B4" t="s">
        <v>1</v>
      </c>
      <c r="C4" t="s">
        <v>1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3</v>
      </c>
      <c r="J4" s="2">
        <v>0</v>
      </c>
      <c r="K4" t="s">
        <v>4</v>
      </c>
      <c r="L4" s="3">
        <v>0</v>
      </c>
      <c r="M4" s="3">
        <v>0</v>
      </c>
      <c r="N4" s="3">
        <v>0</v>
      </c>
      <c r="O4" s="2">
        <v>0</v>
      </c>
      <c r="P4" s="3">
        <v>0</v>
      </c>
      <c r="Q4" s="2">
        <v>0</v>
      </c>
      <c r="R4" s="3">
        <v>0</v>
      </c>
      <c r="S4" s="2">
        <v>0</v>
      </c>
      <c r="T4" s="3">
        <v>0</v>
      </c>
      <c r="U4" s="2">
        <v>0</v>
      </c>
      <c r="V4" s="3">
        <v>0</v>
      </c>
      <c r="W4" s="2">
        <v>50715.18</v>
      </c>
      <c r="X4" s="3">
        <v>64945</v>
      </c>
    </row>
    <row r="5" spans="1:24" x14ac:dyDescent="0.25">
      <c r="A5" t="s">
        <v>5</v>
      </c>
      <c r="B5" t="s">
        <v>1</v>
      </c>
      <c r="C5" t="s">
        <v>1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3</v>
      </c>
      <c r="J5" s="2">
        <v>0</v>
      </c>
      <c r="K5" t="s">
        <v>4</v>
      </c>
      <c r="L5" s="3">
        <v>0</v>
      </c>
      <c r="M5" s="3">
        <v>0</v>
      </c>
      <c r="N5" s="3">
        <v>0</v>
      </c>
      <c r="O5" s="2">
        <v>0</v>
      </c>
      <c r="P5" s="3">
        <v>0</v>
      </c>
      <c r="Q5" s="2">
        <v>0</v>
      </c>
      <c r="R5" s="3">
        <v>0</v>
      </c>
      <c r="S5" s="2">
        <v>0</v>
      </c>
      <c r="T5" s="3">
        <v>0</v>
      </c>
      <c r="U5" s="2">
        <v>0</v>
      </c>
      <c r="V5" s="3">
        <v>0</v>
      </c>
      <c r="W5" s="2">
        <v>114378.12</v>
      </c>
      <c r="X5" s="3">
        <v>146470.68</v>
      </c>
    </row>
    <row r="6" spans="1:24" x14ac:dyDescent="0.25">
      <c r="A6" t="s">
        <v>5</v>
      </c>
      <c r="B6" t="s">
        <v>1</v>
      </c>
      <c r="C6" t="s">
        <v>1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3</v>
      </c>
      <c r="J6" s="2">
        <v>0</v>
      </c>
      <c r="K6" t="s">
        <v>4</v>
      </c>
      <c r="L6" s="3">
        <v>0</v>
      </c>
      <c r="M6" s="3">
        <v>0</v>
      </c>
      <c r="N6" s="3">
        <v>0</v>
      </c>
      <c r="O6" s="2">
        <v>0</v>
      </c>
      <c r="P6" s="3">
        <v>0</v>
      </c>
      <c r="Q6" s="2">
        <v>0</v>
      </c>
      <c r="R6" s="3">
        <v>0</v>
      </c>
      <c r="S6" s="2">
        <v>0</v>
      </c>
      <c r="T6" s="3">
        <v>0</v>
      </c>
      <c r="U6" s="2">
        <v>0</v>
      </c>
      <c r="V6" s="3">
        <v>0</v>
      </c>
      <c r="W6" s="2">
        <v>309505.01799999998</v>
      </c>
      <c r="X6" s="3">
        <v>396346.86</v>
      </c>
    </row>
    <row r="7" spans="1:24" x14ac:dyDescent="0.25">
      <c r="A7" t="s">
        <v>5</v>
      </c>
      <c r="B7" t="s">
        <v>1</v>
      </c>
      <c r="C7" t="s">
        <v>1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3</v>
      </c>
      <c r="J7" s="2">
        <v>0</v>
      </c>
      <c r="K7" t="s">
        <v>4</v>
      </c>
      <c r="L7" s="3">
        <v>0</v>
      </c>
      <c r="M7" s="3">
        <v>0</v>
      </c>
      <c r="N7" s="3">
        <v>0</v>
      </c>
      <c r="O7" s="2">
        <v>0</v>
      </c>
      <c r="P7" s="3">
        <v>0</v>
      </c>
      <c r="Q7" s="2">
        <v>0</v>
      </c>
      <c r="R7" s="3">
        <v>0</v>
      </c>
      <c r="S7" s="2">
        <v>0</v>
      </c>
      <c r="T7" s="3">
        <v>0</v>
      </c>
      <c r="U7" s="2">
        <v>0</v>
      </c>
      <c r="V7" s="3">
        <v>0</v>
      </c>
      <c r="W7" s="2">
        <v>301449.32</v>
      </c>
      <c r="X7" s="3">
        <v>386030.87</v>
      </c>
    </row>
    <row r="8" spans="1:24" x14ac:dyDescent="0.25">
      <c r="A8" t="s">
        <v>6</v>
      </c>
      <c r="B8" t="s">
        <v>1</v>
      </c>
      <c r="C8" t="s">
        <v>1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3</v>
      </c>
      <c r="J8" s="2">
        <v>30590.713</v>
      </c>
      <c r="K8" t="s">
        <v>4</v>
      </c>
      <c r="L8" s="3">
        <v>86535.77</v>
      </c>
      <c r="M8" s="3">
        <v>0</v>
      </c>
      <c r="N8" s="3">
        <v>0</v>
      </c>
      <c r="O8" s="2">
        <v>0</v>
      </c>
      <c r="P8" s="3">
        <v>0</v>
      </c>
      <c r="Q8" s="2">
        <v>0</v>
      </c>
      <c r="R8" s="3">
        <v>0</v>
      </c>
      <c r="S8" s="2">
        <v>0</v>
      </c>
      <c r="T8" s="3">
        <v>0</v>
      </c>
      <c r="U8" s="2">
        <v>0</v>
      </c>
      <c r="V8" s="3">
        <v>0</v>
      </c>
      <c r="W8" s="2">
        <v>0</v>
      </c>
      <c r="X8" s="3">
        <v>0</v>
      </c>
    </row>
    <row r="9" spans="1:24" x14ac:dyDescent="0.25">
      <c r="A9" t="s">
        <v>7</v>
      </c>
      <c r="B9" t="s">
        <v>1</v>
      </c>
      <c r="C9" t="s">
        <v>1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3</v>
      </c>
      <c r="J9" s="2">
        <v>36933.035000000003</v>
      </c>
      <c r="K9" t="s">
        <v>4</v>
      </c>
      <c r="L9" s="3">
        <v>104427.08</v>
      </c>
      <c r="M9" s="3">
        <v>0</v>
      </c>
      <c r="N9" s="3">
        <v>0</v>
      </c>
      <c r="O9" s="2">
        <v>0</v>
      </c>
      <c r="P9" s="3">
        <v>0</v>
      </c>
      <c r="Q9" s="2">
        <v>0</v>
      </c>
      <c r="R9" s="3">
        <v>0</v>
      </c>
      <c r="S9" s="2">
        <v>0</v>
      </c>
      <c r="T9" s="3">
        <v>0</v>
      </c>
      <c r="U9" s="2">
        <v>0</v>
      </c>
      <c r="V9" s="3">
        <v>0</v>
      </c>
      <c r="W9" s="2">
        <v>0</v>
      </c>
      <c r="X9" s="3">
        <v>0</v>
      </c>
    </row>
    <row r="10" spans="1:24" x14ac:dyDescent="0.25">
      <c r="A10" t="s">
        <v>8</v>
      </c>
      <c r="B10" t="s">
        <v>1</v>
      </c>
      <c r="C10" t="s">
        <v>1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3</v>
      </c>
      <c r="J10" s="2">
        <v>10136.903</v>
      </c>
      <c r="K10" t="s">
        <v>4</v>
      </c>
      <c r="L10" s="3">
        <v>29925.09</v>
      </c>
      <c r="M10" s="3">
        <v>0</v>
      </c>
      <c r="N10" s="3">
        <v>0</v>
      </c>
      <c r="O10" s="2">
        <v>0</v>
      </c>
      <c r="P10" s="3">
        <v>0</v>
      </c>
      <c r="Q10" s="2">
        <v>0</v>
      </c>
      <c r="R10" s="3">
        <v>0</v>
      </c>
      <c r="S10" s="2">
        <v>0</v>
      </c>
      <c r="T10" s="3">
        <v>0</v>
      </c>
      <c r="U10" s="2">
        <v>0</v>
      </c>
      <c r="V10" s="3">
        <v>0</v>
      </c>
      <c r="W10" s="2">
        <v>0</v>
      </c>
      <c r="X10" s="3">
        <v>0</v>
      </c>
    </row>
    <row r="11" spans="1:24" x14ac:dyDescent="0.25">
      <c r="A11" t="s">
        <v>9</v>
      </c>
      <c r="B11" t="s">
        <v>1</v>
      </c>
      <c r="C11" t="s">
        <v>1</v>
      </c>
      <c r="D11" t="s">
        <v>2</v>
      </c>
      <c r="E11" t="s">
        <v>2</v>
      </c>
      <c r="F11" t="s">
        <v>2</v>
      </c>
      <c r="G11" t="s">
        <v>2</v>
      </c>
      <c r="H11" t="s">
        <v>10</v>
      </c>
      <c r="I11" t="s">
        <v>11</v>
      </c>
      <c r="J11" s="4">
        <v>1</v>
      </c>
      <c r="K11" t="s">
        <v>4</v>
      </c>
      <c r="L11" s="3">
        <v>30.92</v>
      </c>
      <c r="M11" s="4">
        <v>0</v>
      </c>
      <c r="N11" s="3">
        <v>0</v>
      </c>
      <c r="O11" s="4">
        <v>0</v>
      </c>
      <c r="P11" s="3">
        <v>0</v>
      </c>
      <c r="Q11" s="4">
        <v>0</v>
      </c>
      <c r="R11" s="3">
        <v>0</v>
      </c>
      <c r="S11" s="4">
        <v>0</v>
      </c>
      <c r="T11" s="3">
        <v>0</v>
      </c>
      <c r="U11" s="4">
        <v>0</v>
      </c>
      <c r="V11" s="3">
        <v>0</v>
      </c>
      <c r="W11" s="4">
        <v>0</v>
      </c>
      <c r="X11" s="3">
        <v>0</v>
      </c>
    </row>
    <row r="12" spans="1:24" x14ac:dyDescent="0.25">
      <c r="A12" t="s">
        <v>9</v>
      </c>
      <c r="B12" t="s">
        <v>1</v>
      </c>
      <c r="C12" t="s">
        <v>1</v>
      </c>
      <c r="D12" t="s">
        <v>2</v>
      </c>
      <c r="E12" t="s">
        <v>2</v>
      </c>
      <c r="F12" t="s">
        <v>2</v>
      </c>
      <c r="G12" t="s">
        <v>2</v>
      </c>
      <c r="H12" t="s">
        <v>12</v>
      </c>
      <c r="I12" t="s">
        <v>11</v>
      </c>
      <c r="J12" s="4">
        <v>181</v>
      </c>
      <c r="K12" t="s">
        <v>4</v>
      </c>
      <c r="L12" s="3">
        <v>5596.52</v>
      </c>
      <c r="M12" s="4">
        <v>0</v>
      </c>
      <c r="N12" s="3">
        <v>0</v>
      </c>
      <c r="O12" s="4">
        <v>0</v>
      </c>
      <c r="P12" s="3">
        <v>0</v>
      </c>
      <c r="Q12" s="4">
        <v>0</v>
      </c>
      <c r="R12" s="3">
        <v>0</v>
      </c>
      <c r="S12" s="4">
        <v>0</v>
      </c>
      <c r="T12" s="3">
        <v>0</v>
      </c>
      <c r="U12" s="4">
        <v>0</v>
      </c>
      <c r="V12" s="3">
        <v>0</v>
      </c>
      <c r="W12" s="4">
        <v>0</v>
      </c>
      <c r="X12" s="3">
        <v>0</v>
      </c>
    </row>
    <row r="13" spans="1:24" x14ac:dyDescent="0.25">
      <c r="A13" t="s">
        <v>9</v>
      </c>
      <c r="B13" t="s">
        <v>1</v>
      </c>
      <c r="C13" t="s">
        <v>1</v>
      </c>
      <c r="D13" t="s">
        <v>2</v>
      </c>
      <c r="E13" t="s">
        <v>2</v>
      </c>
      <c r="F13" t="s">
        <v>2</v>
      </c>
      <c r="G13" t="s">
        <v>2</v>
      </c>
      <c r="H13" t="s">
        <v>13</v>
      </c>
      <c r="I13" t="s">
        <v>11</v>
      </c>
      <c r="J13" s="4">
        <v>400</v>
      </c>
      <c r="K13" t="s">
        <v>4</v>
      </c>
      <c r="L13" s="3">
        <v>12368</v>
      </c>
      <c r="M13" s="4">
        <v>0</v>
      </c>
      <c r="N13" s="3">
        <v>0</v>
      </c>
      <c r="O13" s="4">
        <v>0</v>
      </c>
      <c r="P13" s="3">
        <v>0</v>
      </c>
      <c r="Q13" s="4">
        <v>0</v>
      </c>
      <c r="R13" s="3">
        <v>0</v>
      </c>
      <c r="S13" s="4">
        <v>0</v>
      </c>
      <c r="T13" s="3">
        <v>0</v>
      </c>
      <c r="U13" s="4">
        <v>0</v>
      </c>
      <c r="V13" s="3">
        <v>0</v>
      </c>
      <c r="W13" s="4">
        <v>0</v>
      </c>
      <c r="X13" s="3">
        <v>0</v>
      </c>
    </row>
    <row r="14" spans="1:24" x14ac:dyDescent="0.25">
      <c r="A14" t="s">
        <v>14</v>
      </c>
      <c r="B14" t="s">
        <v>1</v>
      </c>
      <c r="C14" t="s">
        <v>1</v>
      </c>
      <c r="D14" t="s">
        <v>2</v>
      </c>
      <c r="E14" t="s">
        <v>2</v>
      </c>
      <c r="F14" t="s">
        <v>2</v>
      </c>
      <c r="G14" t="s">
        <v>2</v>
      </c>
      <c r="H14" t="s">
        <v>15</v>
      </c>
      <c r="I14" t="s">
        <v>11</v>
      </c>
      <c r="J14" s="4">
        <v>5</v>
      </c>
      <c r="K14" t="s">
        <v>4</v>
      </c>
      <c r="L14" s="3">
        <v>160.30000000000001</v>
      </c>
      <c r="M14" s="4">
        <v>0</v>
      </c>
      <c r="N14" s="3">
        <v>0</v>
      </c>
      <c r="O14" s="4">
        <v>0</v>
      </c>
      <c r="P14" s="3">
        <v>0</v>
      </c>
      <c r="Q14" s="4">
        <v>0</v>
      </c>
      <c r="R14" s="3">
        <v>0</v>
      </c>
      <c r="S14" s="4">
        <v>0</v>
      </c>
      <c r="T14" s="3">
        <v>0</v>
      </c>
      <c r="U14" s="4">
        <v>0</v>
      </c>
      <c r="V14" s="3">
        <v>0</v>
      </c>
      <c r="W14" s="4">
        <v>0</v>
      </c>
      <c r="X14" s="3">
        <v>0</v>
      </c>
    </row>
    <row r="15" spans="1:24" x14ac:dyDescent="0.25">
      <c r="A15" t="s">
        <v>14</v>
      </c>
      <c r="B15" t="s">
        <v>1</v>
      </c>
      <c r="C15" t="s">
        <v>1</v>
      </c>
      <c r="D15" t="s">
        <v>2</v>
      </c>
      <c r="E15" t="s">
        <v>2</v>
      </c>
      <c r="F15" t="s">
        <v>2</v>
      </c>
      <c r="G15" t="s">
        <v>2</v>
      </c>
      <c r="H15" s="9" t="s">
        <v>16</v>
      </c>
      <c r="I15" s="9" t="s">
        <v>11</v>
      </c>
      <c r="J15" s="10">
        <v>72</v>
      </c>
      <c r="K15" t="s">
        <v>4</v>
      </c>
      <c r="L15" s="3">
        <v>2308.3200000000002</v>
      </c>
      <c r="M15" s="4">
        <v>0</v>
      </c>
      <c r="N15" s="3">
        <v>0</v>
      </c>
      <c r="O15" s="4">
        <v>0</v>
      </c>
      <c r="P15" s="3">
        <v>0</v>
      </c>
      <c r="Q15" s="4">
        <v>0</v>
      </c>
      <c r="R15" s="3">
        <v>0</v>
      </c>
      <c r="S15" s="4">
        <v>0</v>
      </c>
      <c r="T15" s="3">
        <v>0</v>
      </c>
      <c r="U15" s="4">
        <v>0</v>
      </c>
      <c r="V15" s="3">
        <v>0</v>
      </c>
      <c r="W15" s="4">
        <v>0</v>
      </c>
      <c r="X15" s="3">
        <v>0</v>
      </c>
    </row>
    <row r="16" spans="1:24" x14ac:dyDescent="0.25">
      <c r="A16" t="s">
        <v>14</v>
      </c>
      <c r="B16" t="s">
        <v>1</v>
      </c>
      <c r="C16" t="s">
        <v>1</v>
      </c>
      <c r="D16" t="s">
        <v>2</v>
      </c>
      <c r="E16" t="s">
        <v>2</v>
      </c>
      <c r="F16" t="s">
        <v>2</v>
      </c>
      <c r="G16" t="s">
        <v>2</v>
      </c>
      <c r="H16" t="s">
        <v>17</v>
      </c>
      <c r="I16" t="s">
        <v>11</v>
      </c>
      <c r="J16" s="4">
        <v>9</v>
      </c>
      <c r="K16" t="s">
        <v>4</v>
      </c>
      <c r="L16" s="3">
        <v>288.54000000000002</v>
      </c>
      <c r="M16" s="4">
        <v>0</v>
      </c>
      <c r="N16" s="3">
        <v>0</v>
      </c>
      <c r="O16" s="4">
        <v>0</v>
      </c>
      <c r="P16" s="3">
        <v>0</v>
      </c>
      <c r="Q16" s="4">
        <v>0</v>
      </c>
      <c r="R16" s="3">
        <v>0</v>
      </c>
      <c r="S16" s="4">
        <v>0</v>
      </c>
      <c r="T16" s="3">
        <v>0</v>
      </c>
      <c r="U16" s="4">
        <v>0</v>
      </c>
      <c r="V16" s="3">
        <v>0</v>
      </c>
      <c r="W16" s="4">
        <v>0</v>
      </c>
      <c r="X16" s="3">
        <v>0</v>
      </c>
    </row>
    <row r="17" spans="1:24" x14ac:dyDescent="0.25">
      <c r="A17" t="s">
        <v>18</v>
      </c>
      <c r="B17" t="s">
        <v>1</v>
      </c>
      <c r="C17" t="s">
        <v>1</v>
      </c>
      <c r="D17" t="s">
        <v>2</v>
      </c>
      <c r="E17" t="s">
        <v>2</v>
      </c>
      <c r="F17" t="s">
        <v>2</v>
      </c>
      <c r="G17" t="s">
        <v>2</v>
      </c>
      <c r="H17" s="9" t="s">
        <v>16</v>
      </c>
      <c r="I17" s="9" t="s">
        <v>11</v>
      </c>
      <c r="J17" s="10">
        <v>1523</v>
      </c>
      <c r="K17" t="s">
        <v>4</v>
      </c>
      <c r="L17" s="3">
        <v>54401.56</v>
      </c>
      <c r="M17" s="4">
        <v>0</v>
      </c>
      <c r="N17" s="3">
        <v>0</v>
      </c>
      <c r="O17" s="4">
        <v>0</v>
      </c>
      <c r="P17" s="3">
        <v>0</v>
      </c>
      <c r="Q17" s="4">
        <v>0</v>
      </c>
      <c r="R17" s="3">
        <v>0</v>
      </c>
      <c r="S17" s="4">
        <v>0</v>
      </c>
      <c r="T17" s="3">
        <v>0</v>
      </c>
      <c r="U17" s="4">
        <v>0</v>
      </c>
      <c r="V17" s="3">
        <v>0</v>
      </c>
      <c r="W17" s="4">
        <v>0</v>
      </c>
      <c r="X17" s="3">
        <v>0</v>
      </c>
    </row>
    <row r="18" spans="1:24" x14ac:dyDescent="0.25">
      <c r="A18" t="s">
        <v>18</v>
      </c>
      <c r="B18" t="s">
        <v>1</v>
      </c>
      <c r="C18" t="s">
        <v>1</v>
      </c>
      <c r="D18" t="s">
        <v>2</v>
      </c>
      <c r="E18" t="s">
        <v>2</v>
      </c>
      <c r="F18" t="s">
        <v>2</v>
      </c>
      <c r="G18" t="s">
        <v>2</v>
      </c>
      <c r="H18" t="s">
        <v>17</v>
      </c>
      <c r="I18" t="s">
        <v>11</v>
      </c>
      <c r="J18" s="4">
        <v>565</v>
      </c>
      <c r="K18" t="s">
        <v>4</v>
      </c>
      <c r="L18" s="3">
        <v>20181.8</v>
      </c>
      <c r="M18" s="4">
        <v>0</v>
      </c>
      <c r="N18" s="3">
        <v>0</v>
      </c>
      <c r="O18" s="4">
        <v>0</v>
      </c>
      <c r="P18" s="3">
        <v>0</v>
      </c>
      <c r="Q18" s="4">
        <v>0</v>
      </c>
      <c r="R18" s="3">
        <v>0</v>
      </c>
      <c r="S18" s="4">
        <v>0</v>
      </c>
      <c r="T18" s="3">
        <v>0</v>
      </c>
      <c r="U18" s="4">
        <v>0</v>
      </c>
      <c r="V18" s="3">
        <v>0</v>
      </c>
      <c r="W18" s="4">
        <v>0</v>
      </c>
      <c r="X18" s="3">
        <v>0</v>
      </c>
    </row>
    <row r="19" spans="1:24" x14ac:dyDescent="0.25">
      <c r="A19" t="s">
        <v>19</v>
      </c>
      <c r="B19" t="s">
        <v>1</v>
      </c>
      <c r="C19" t="s">
        <v>1</v>
      </c>
      <c r="D19" t="s">
        <v>2</v>
      </c>
      <c r="E19" t="s">
        <v>2</v>
      </c>
      <c r="F19" t="s">
        <v>2</v>
      </c>
      <c r="G19" t="s">
        <v>2</v>
      </c>
      <c r="H19" s="9" t="s">
        <v>16</v>
      </c>
      <c r="I19" s="9" t="s">
        <v>11</v>
      </c>
      <c r="J19" s="10">
        <v>1471</v>
      </c>
      <c r="K19" t="s">
        <v>4</v>
      </c>
      <c r="L19" s="3">
        <v>53897.440000000002</v>
      </c>
      <c r="M19" s="4">
        <v>0</v>
      </c>
      <c r="N19" s="3">
        <v>0</v>
      </c>
      <c r="O19" s="4">
        <v>0</v>
      </c>
      <c r="P19" s="3">
        <v>0</v>
      </c>
      <c r="Q19" s="4">
        <v>0</v>
      </c>
      <c r="R19" s="3">
        <v>0</v>
      </c>
      <c r="S19" s="4">
        <v>0</v>
      </c>
      <c r="T19" s="3">
        <v>0</v>
      </c>
      <c r="U19" s="4">
        <v>0</v>
      </c>
      <c r="V19" s="3">
        <v>0</v>
      </c>
      <c r="W19" s="4">
        <v>0</v>
      </c>
      <c r="X19" s="3">
        <v>0</v>
      </c>
    </row>
    <row r="20" spans="1:24" x14ac:dyDescent="0.25">
      <c r="A20" t="s">
        <v>19</v>
      </c>
      <c r="B20" t="s">
        <v>1</v>
      </c>
      <c r="C20" t="s">
        <v>1</v>
      </c>
      <c r="D20" t="s">
        <v>2</v>
      </c>
      <c r="E20" t="s">
        <v>2</v>
      </c>
      <c r="F20" t="s">
        <v>2</v>
      </c>
      <c r="G20" t="s">
        <v>2</v>
      </c>
      <c r="H20" t="s">
        <v>17</v>
      </c>
      <c r="I20" t="s">
        <v>11</v>
      </c>
      <c r="J20" s="4">
        <v>635</v>
      </c>
      <c r="K20" t="s">
        <v>4</v>
      </c>
      <c r="L20" s="3">
        <v>23266.400000000001</v>
      </c>
      <c r="M20" s="4">
        <v>0</v>
      </c>
      <c r="N20" s="3">
        <v>0</v>
      </c>
      <c r="O20" s="4">
        <v>0</v>
      </c>
      <c r="P20" s="3">
        <v>0</v>
      </c>
      <c r="Q20" s="4">
        <v>0</v>
      </c>
      <c r="R20" s="3">
        <v>0</v>
      </c>
      <c r="S20" s="4">
        <v>0</v>
      </c>
      <c r="T20" s="3">
        <v>0</v>
      </c>
      <c r="U20" s="4">
        <v>0</v>
      </c>
      <c r="V20" s="3">
        <v>0</v>
      </c>
      <c r="W20" s="4">
        <v>0</v>
      </c>
      <c r="X20" s="3">
        <v>0</v>
      </c>
    </row>
    <row r="21" spans="1:24" x14ac:dyDescent="0.25">
      <c r="A21" t="s">
        <v>20</v>
      </c>
      <c r="B21" t="s">
        <v>1</v>
      </c>
      <c r="C21" t="s">
        <v>1</v>
      </c>
      <c r="D21" t="s">
        <v>2</v>
      </c>
      <c r="E21" t="s">
        <v>2</v>
      </c>
      <c r="F21" t="s">
        <v>2</v>
      </c>
      <c r="G21" t="s">
        <v>2</v>
      </c>
      <c r="H21" t="s">
        <v>17</v>
      </c>
      <c r="I21" t="s">
        <v>11</v>
      </c>
      <c r="J21" s="4">
        <v>45</v>
      </c>
      <c r="K21" t="s">
        <v>4</v>
      </c>
      <c r="L21" s="3">
        <v>5564.7</v>
      </c>
      <c r="M21" s="4">
        <v>0</v>
      </c>
      <c r="N21" s="3">
        <v>0</v>
      </c>
      <c r="O21" s="4">
        <v>0</v>
      </c>
      <c r="P21" s="3">
        <v>0</v>
      </c>
      <c r="Q21" s="4">
        <v>0</v>
      </c>
      <c r="R21" s="3">
        <v>0</v>
      </c>
      <c r="S21" s="4">
        <v>0</v>
      </c>
      <c r="T21" s="3">
        <v>0</v>
      </c>
      <c r="U21" s="4">
        <v>0</v>
      </c>
      <c r="V21" s="3">
        <v>0</v>
      </c>
      <c r="W21" s="4">
        <v>0</v>
      </c>
      <c r="X21" s="3">
        <v>0</v>
      </c>
    </row>
    <row r="22" spans="1:24" x14ac:dyDescent="0.25">
      <c r="A22" t="s">
        <v>21</v>
      </c>
      <c r="B22" t="s">
        <v>1</v>
      </c>
      <c r="C22" t="s">
        <v>1</v>
      </c>
      <c r="D22" t="s">
        <v>2</v>
      </c>
      <c r="E22" t="s">
        <v>2</v>
      </c>
      <c r="F22" t="s">
        <v>2</v>
      </c>
      <c r="G22" t="s">
        <v>2</v>
      </c>
      <c r="H22" t="s">
        <v>17</v>
      </c>
      <c r="I22" t="s">
        <v>11</v>
      </c>
      <c r="J22" s="4">
        <v>55</v>
      </c>
      <c r="K22" t="s">
        <v>4</v>
      </c>
      <c r="L22" s="3">
        <v>1763.3</v>
      </c>
      <c r="M22" s="4">
        <v>0</v>
      </c>
      <c r="N22" s="3">
        <v>0</v>
      </c>
      <c r="O22" s="4">
        <v>0</v>
      </c>
      <c r="P22" s="3">
        <v>0</v>
      </c>
      <c r="Q22" s="4">
        <v>0</v>
      </c>
      <c r="R22" s="3">
        <v>0</v>
      </c>
      <c r="S22" s="4">
        <v>0</v>
      </c>
      <c r="T22" s="3">
        <v>0</v>
      </c>
      <c r="U22" s="4">
        <v>0</v>
      </c>
      <c r="V22" s="3">
        <v>0</v>
      </c>
      <c r="W22" s="4">
        <v>0</v>
      </c>
      <c r="X22" s="3">
        <v>0</v>
      </c>
    </row>
    <row r="23" spans="1:24" x14ac:dyDescent="0.25">
      <c r="A23" t="s">
        <v>21</v>
      </c>
      <c r="B23" t="s">
        <v>1</v>
      </c>
      <c r="C23" t="s">
        <v>1</v>
      </c>
      <c r="D23" t="s">
        <v>2</v>
      </c>
      <c r="E23" t="s">
        <v>2</v>
      </c>
      <c r="F23" t="s">
        <v>2</v>
      </c>
      <c r="G23" t="s">
        <v>2</v>
      </c>
      <c r="H23" s="9" t="s">
        <v>16</v>
      </c>
      <c r="I23" s="9" t="s">
        <v>11</v>
      </c>
      <c r="J23" s="10">
        <v>237</v>
      </c>
      <c r="K23" t="s">
        <v>4</v>
      </c>
      <c r="L23" s="3">
        <v>7598.22</v>
      </c>
      <c r="M23" s="4">
        <v>0</v>
      </c>
      <c r="N23" s="3">
        <v>0</v>
      </c>
      <c r="O23" s="4">
        <v>0</v>
      </c>
      <c r="P23" s="3">
        <v>0</v>
      </c>
      <c r="Q23" s="4">
        <v>0</v>
      </c>
      <c r="R23" s="3">
        <v>0</v>
      </c>
      <c r="S23" s="4">
        <v>0</v>
      </c>
      <c r="T23" s="3">
        <v>0</v>
      </c>
      <c r="U23" s="4">
        <v>0</v>
      </c>
      <c r="V23" s="3">
        <v>0</v>
      </c>
      <c r="W23" s="4">
        <v>0</v>
      </c>
      <c r="X23" s="3">
        <v>0</v>
      </c>
    </row>
    <row r="24" spans="1:24" x14ac:dyDescent="0.25">
      <c r="A24" t="s">
        <v>21</v>
      </c>
      <c r="B24" t="s">
        <v>1</v>
      </c>
      <c r="C24" t="s">
        <v>1</v>
      </c>
      <c r="D24" t="s">
        <v>2</v>
      </c>
      <c r="E24" t="s">
        <v>2</v>
      </c>
      <c r="F24" t="s">
        <v>2</v>
      </c>
      <c r="G24" t="s">
        <v>2</v>
      </c>
      <c r="H24" t="s">
        <v>22</v>
      </c>
      <c r="I24" t="s">
        <v>11</v>
      </c>
      <c r="J24" s="4">
        <v>1</v>
      </c>
      <c r="K24" t="s">
        <v>4</v>
      </c>
      <c r="L24" s="3">
        <v>32.06</v>
      </c>
      <c r="M24" s="4">
        <v>0</v>
      </c>
      <c r="N24" s="3">
        <v>0</v>
      </c>
      <c r="O24" s="4">
        <v>0</v>
      </c>
      <c r="P24" s="3">
        <v>0</v>
      </c>
      <c r="Q24" s="4">
        <v>0</v>
      </c>
      <c r="R24" s="3">
        <v>0</v>
      </c>
      <c r="S24" s="4">
        <v>0</v>
      </c>
      <c r="T24" s="3">
        <v>0</v>
      </c>
      <c r="U24" s="4">
        <v>0</v>
      </c>
      <c r="V24" s="3">
        <v>0</v>
      </c>
      <c r="W24" s="4">
        <v>0</v>
      </c>
      <c r="X24" s="3">
        <v>0</v>
      </c>
    </row>
    <row r="25" spans="1:24" x14ac:dyDescent="0.25">
      <c r="A25" t="s">
        <v>21</v>
      </c>
      <c r="B25" t="s">
        <v>1</v>
      </c>
      <c r="C25" t="s">
        <v>1</v>
      </c>
      <c r="D25" t="s">
        <v>2</v>
      </c>
      <c r="E25" t="s">
        <v>2</v>
      </c>
      <c r="F25" t="s">
        <v>2</v>
      </c>
      <c r="G25" t="s">
        <v>2</v>
      </c>
      <c r="H25" t="s">
        <v>23</v>
      </c>
      <c r="I25" t="s">
        <v>11</v>
      </c>
      <c r="J25" s="4">
        <v>1</v>
      </c>
      <c r="K25" t="s">
        <v>4</v>
      </c>
      <c r="L25" s="3">
        <v>32.06</v>
      </c>
      <c r="M25" s="4">
        <v>0</v>
      </c>
      <c r="N25" s="3">
        <v>0</v>
      </c>
      <c r="O25" s="4">
        <v>0</v>
      </c>
      <c r="P25" s="3">
        <v>0</v>
      </c>
      <c r="Q25" s="4">
        <v>0</v>
      </c>
      <c r="R25" s="3">
        <v>0</v>
      </c>
      <c r="S25" s="4">
        <v>0</v>
      </c>
      <c r="T25" s="3">
        <v>0</v>
      </c>
      <c r="U25" s="4">
        <v>0</v>
      </c>
      <c r="V25" s="3">
        <v>0</v>
      </c>
      <c r="W25" s="4">
        <v>0</v>
      </c>
      <c r="X25" s="3">
        <v>0</v>
      </c>
    </row>
    <row r="26" spans="1:24" x14ac:dyDescent="0.25">
      <c r="A26" t="s">
        <v>24</v>
      </c>
      <c r="B26" t="s">
        <v>1</v>
      </c>
      <c r="C26" t="s">
        <v>1</v>
      </c>
      <c r="D26" t="s">
        <v>2</v>
      </c>
      <c r="E26" t="s">
        <v>2</v>
      </c>
      <c r="F26" t="s">
        <v>2</v>
      </c>
      <c r="G26" t="s">
        <v>2</v>
      </c>
      <c r="H26" t="s">
        <v>25</v>
      </c>
      <c r="I26" t="s">
        <v>11</v>
      </c>
      <c r="J26" s="4">
        <v>1</v>
      </c>
      <c r="K26" t="s">
        <v>4</v>
      </c>
      <c r="L26" s="3">
        <v>63.66</v>
      </c>
      <c r="M26" s="4">
        <v>0</v>
      </c>
      <c r="N26" s="3">
        <v>0</v>
      </c>
      <c r="O26" s="4">
        <v>0</v>
      </c>
      <c r="P26" s="3">
        <v>0</v>
      </c>
      <c r="Q26" s="4">
        <v>0</v>
      </c>
      <c r="R26" s="3">
        <v>0</v>
      </c>
      <c r="S26" s="4">
        <v>0</v>
      </c>
      <c r="T26" s="3">
        <v>0</v>
      </c>
      <c r="U26" s="4">
        <v>0</v>
      </c>
      <c r="V26" s="3">
        <v>0</v>
      </c>
      <c r="W26" s="4">
        <v>0</v>
      </c>
      <c r="X26" s="3">
        <v>0</v>
      </c>
    </row>
    <row r="27" spans="1:24" x14ac:dyDescent="0.25">
      <c r="A27" t="s">
        <v>26</v>
      </c>
      <c r="B27" t="s">
        <v>1</v>
      </c>
      <c r="C27" t="s">
        <v>1</v>
      </c>
      <c r="D27" t="s">
        <v>2</v>
      </c>
      <c r="E27" t="s">
        <v>2</v>
      </c>
      <c r="F27" t="s">
        <v>2</v>
      </c>
      <c r="G27" t="s">
        <v>2</v>
      </c>
      <c r="H27" t="s">
        <v>17</v>
      </c>
      <c r="I27" t="s">
        <v>11</v>
      </c>
      <c r="J27" s="4">
        <v>350</v>
      </c>
      <c r="K27" t="s">
        <v>4</v>
      </c>
      <c r="L27" s="3">
        <v>12502</v>
      </c>
      <c r="M27" s="4">
        <v>0</v>
      </c>
      <c r="N27" s="3">
        <v>0</v>
      </c>
      <c r="O27" s="4">
        <v>0</v>
      </c>
      <c r="P27" s="3">
        <v>0</v>
      </c>
      <c r="Q27" s="4">
        <v>0</v>
      </c>
      <c r="R27" s="3">
        <v>0</v>
      </c>
      <c r="S27" s="4">
        <v>0</v>
      </c>
      <c r="T27" s="3">
        <v>0</v>
      </c>
      <c r="U27" s="4">
        <v>0</v>
      </c>
      <c r="V27" s="3">
        <v>0</v>
      </c>
      <c r="W27" s="4">
        <v>0</v>
      </c>
      <c r="X27" s="3">
        <v>0</v>
      </c>
    </row>
    <row r="28" spans="1:24" x14ac:dyDescent="0.25">
      <c r="A28" t="s">
        <v>27</v>
      </c>
      <c r="B28" t="s">
        <v>1</v>
      </c>
      <c r="C28" t="s">
        <v>1</v>
      </c>
      <c r="D28" t="s">
        <v>2</v>
      </c>
      <c r="E28" t="s">
        <v>2</v>
      </c>
      <c r="F28" t="s">
        <v>2</v>
      </c>
      <c r="G28" t="s">
        <v>2</v>
      </c>
      <c r="H28" t="s">
        <v>28</v>
      </c>
      <c r="I28" t="s">
        <v>11</v>
      </c>
      <c r="J28" s="4">
        <v>1</v>
      </c>
      <c r="K28" t="s">
        <v>4</v>
      </c>
      <c r="L28" s="3">
        <v>36.64</v>
      </c>
      <c r="M28" s="4">
        <v>0</v>
      </c>
      <c r="N28" s="3">
        <v>0</v>
      </c>
      <c r="O28" s="4">
        <v>0</v>
      </c>
      <c r="P28" s="3">
        <v>0</v>
      </c>
      <c r="Q28" s="4">
        <v>0</v>
      </c>
      <c r="R28" s="3">
        <v>0</v>
      </c>
      <c r="S28" s="4">
        <v>0</v>
      </c>
      <c r="T28" s="3">
        <v>0</v>
      </c>
      <c r="U28" s="4">
        <v>0</v>
      </c>
      <c r="V28" s="3">
        <v>0</v>
      </c>
      <c r="W28" s="4">
        <v>0</v>
      </c>
      <c r="X28" s="3">
        <v>0</v>
      </c>
    </row>
    <row r="29" spans="1:24" x14ac:dyDescent="0.25">
      <c r="A29" t="s">
        <v>27</v>
      </c>
      <c r="B29" t="s">
        <v>1</v>
      </c>
      <c r="C29" t="s">
        <v>1</v>
      </c>
      <c r="D29" t="s">
        <v>2</v>
      </c>
      <c r="E29" t="s">
        <v>2</v>
      </c>
      <c r="F29" t="s">
        <v>2</v>
      </c>
      <c r="G29" t="s">
        <v>2</v>
      </c>
      <c r="H29" t="s">
        <v>17</v>
      </c>
      <c r="I29" t="s">
        <v>11</v>
      </c>
      <c r="J29" s="4">
        <v>400</v>
      </c>
      <c r="K29" t="s">
        <v>4</v>
      </c>
      <c r="L29" s="3">
        <v>14656</v>
      </c>
      <c r="M29" s="4">
        <v>0</v>
      </c>
      <c r="N29" s="3">
        <v>0</v>
      </c>
      <c r="O29" s="4">
        <v>0</v>
      </c>
      <c r="P29" s="3">
        <v>0</v>
      </c>
      <c r="Q29" s="4">
        <v>0</v>
      </c>
      <c r="R29" s="3">
        <v>0</v>
      </c>
      <c r="S29" s="4">
        <v>0</v>
      </c>
      <c r="T29" s="3">
        <v>0</v>
      </c>
      <c r="U29" s="4">
        <v>0</v>
      </c>
      <c r="V29" s="3">
        <v>0</v>
      </c>
      <c r="W29" s="4">
        <v>0</v>
      </c>
      <c r="X29" s="3">
        <v>0</v>
      </c>
    </row>
    <row r="30" spans="1:24" x14ac:dyDescent="0.25">
      <c r="A30" t="s">
        <v>29</v>
      </c>
      <c r="B30" t="s">
        <v>1</v>
      </c>
      <c r="C30" t="s">
        <v>1</v>
      </c>
      <c r="D30" t="s">
        <v>2</v>
      </c>
      <c r="E30" t="s">
        <v>2</v>
      </c>
      <c r="F30" t="s">
        <v>2</v>
      </c>
      <c r="G30" t="s">
        <v>2</v>
      </c>
      <c r="H30" t="s">
        <v>23</v>
      </c>
      <c r="I30" t="s">
        <v>11</v>
      </c>
      <c r="J30" s="4">
        <v>1</v>
      </c>
      <c r="K30" t="s">
        <v>4</v>
      </c>
      <c r="L30" s="3">
        <v>32.06</v>
      </c>
      <c r="M30" s="4">
        <v>0</v>
      </c>
      <c r="N30" s="3">
        <v>0</v>
      </c>
      <c r="O30" s="4">
        <v>0</v>
      </c>
      <c r="P30" s="3">
        <v>0</v>
      </c>
      <c r="Q30" s="4">
        <v>0</v>
      </c>
      <c r="R30" s="3">
        <v>0</v>
      </c>
      <c r="S30" s="4">
        <v>0</v>
      </c>
      <c r="T30" s="3">
        <v>0</v>
      </c>
      <c r="U30" s="4">
        <v>0</v>
      </c>
      <c r="V30" s="3">
        <v>0</v>
      </c>
      <c r="W30" s="4">
        <v>0</v>
      </c>
      <c r="X30" s="3">
        <v>0</v>
      </c>
    </row>
    <row r="31" spans="1:24" x14ac:dyDescent="0.25">
      <c r="A31" t="s">
        <v>30</v>
      </c>
      <c r="B31" t="s">
        <v>1</v>
      </c>
      <c r="C31" t="s">
        <v>1</v>
      </c>
      <c r="D31" t="s">
        <v>2</v>
      </c>
      <c r="E31" t="s">
        <v>2</v>
      </c>
      <c r="F31" t="s">
        <v>2</v>
      </c>
      <c r="G31" t="s">
        <v>2</v>
      </c>
      <c r="H31" t="s">
        <v>31</v>
      </c>
      <c r="I31" t="s">
        <v>11</v>
      </c>
      <c r="J31" s="4">
        <v>4</v>
      </c>
      <c r="K31" t="s">
        <v>4</v>
      </c>
      <c r="L31" s="3">
        <v>494.64</v>
      </c>
      <c r="M31" s="4">
        <v>0</v>
      </c>
      <c r="N31" s="3">
        <v>0</v>
      </c>
      <c r="O31" s="4">
        <v>0</v>
      </c>
      <c r="P31" s="3">
        <v>0</v>
      </c>
      <c r="Q31" s="4">
        <v>0</v>
      </c>
      <c r="R31" s="3">
        <v>0</v>
      </c>
      <c r="S31" s="4">
        <v>0</v>
      </c>
      <c r="T31" s="3">
        <v>0</v>
      </c>
      <c r="U31" s="4">
        <v>0</v>
      </c>
      <c r="V31" s="3">
        <v>0</v>
      </c>
      <c r="W31" s="4">
        <v>0</v>
      </c>
      <c r="X31" s="3">
        <v>0</v>
      </c>
    </row>
    <row r="32" spans="1:24" x14ac:dyDescent="0.25">
      <c r="A32" t="s">
        <v>32</v>
      </c>
      <c r="B32" t="s">
        <v>1</v>
      </c>
      <c r="C32" t="s">
        <v>1</v>
      </c>
      <c r="D32" t="s">
        <v>2</v>
      </c>
      <c r="E32" t="s">
        <v>2</v>
      </c>
      <c r="F32" t="s">
        <v>2</v>
      </c>
      <c r="G32" t="s">
        <v>2</v>
      </c>
      <c r="H32" s="9" t="s">
        <v>16</v>
      </c>
      <c r="I32" s="9" t="s">
        <v>11</v>
      </c>
      <c r="J32" s="10">
        <v>509</v>
      </c>
      <c r="K32" t="s">
        <v>4</v>
      </c>
      <c r="L32" s="3">
        <v>41961.96</v>
      </c>
      <c r="M32" s="4">
        <v>0</v>
      </c>
      <c r="N32" s="3">
        <v>0</v>
      </c>
      <c r="O32" s="4">
        <v>0</v>
      </c>
      <c r="P32" s="3">
        <v>0</v>
      </c>
      <c r="Q32" s="4">
        <v>0</v>
      </c>
      <c r="R32" s="3">
        <v>0</v>
      </c>
      <c r="S32" s="4">
        <v>0</v>
      </c>
      <c r="T32" s="3">
        <v>0</v>
      </c>
      <c r="U32" s="4">
        <v>0</v>
      </c>
      <c r="V32" s="3">
        <v>0</v>
      </c>
      <c r="W32" s="4">
        <v>0</v>
      </c>
      <c r="X32" s="3">
        <v>0</v>
      </c>
    </row>
    <row r="33" spans="1:24" x14ac:dyDescent="0.25">
      <c r="A33" t="s">
        <v>32</v>
      </c>
      <c r="B33" t="s">
        <v>1</v>
      </c>
      <c r="C33" t="s">
        <v>1</v>
      </c>
      <c r="D33" t="s">
        <v>2</v>
      </c>
      <c r="E33" t="s">
        <v>2</v>
      </c>
      <c r="F33" t="s">
        <v>2</v>
      </c>
      <c r="G33" t="s">
        <v>2</v>
      </c>
      <c r="H33" t="s">
        <v>17</v>
      </c>
      <c r="I33" t="s">
        <v>11</v>
      </c>
      <c r="J33" s="4">
        <v>189</v>
      </c>
      <c r="K33" t="s">
        <v>4</v>
      </c>
      <c r="L33" s="3">
        <v>15581.16</v>
      </c>
      <c r="M33" s="4">
        <v>0</v>
      </c>
      <c r="N33" s="3">
        <v>0</v>
      </c>
      <c r="O33" s="4">
        <v>0</v>
      </c>
      <c r="P33" s="3">
        <v>0</v>
      </c>
      <c r="Q33" s="4">
        <v>0</v>
      </c>
      <c r="R33" s="3">
        <v>0</v>
      </c>
      <c r="S33" s="4">
        <v>0</v>
      </c>
      <c r="T33" s="3">
        <v>0</v>
      </c>
      <c r="U33" s="4">
        <v>0</v>
      </c>
      <c r="V33" s="3">
        <v>0</v>
      </c>
      <c r="W33" s="4">
        <v>0</v>
      </c>
      <c r="X33" s="3">
        <v>0</v>
      </c>
    </row>
    <row r="34" spans="1:24" x14ac:dyDescent="0.25">
      <c r="A34" s="5" t="s">
        <v>2</v>
      </c>
      <c r="B34" s="5" t="s">
        <v>2</v>
      </c>
      <c r="C34" s="5" t="s">
        <v>2</v>
      </c>
      <c r="D34" s="5" t="s">
        <v>2</v>
      </c>
      <c r="E34" s="5" t="s">
        <v>2</v>
      </c>
      <c r="F34" s="5" t="s">
        <v>2</v>
      </c>
      <c r="G34" s="5" t="s">
        <v>2</v>
      </c>
      <c r="H34" s="5" t="s">
        <v>2</v>
      </c>
      <c r="I34" s="5" t="s">
        <v>2</v>
      </c>
      <c r="J34" s="6"/>
      <c r="K34" s="5" t="s">
        <v>4</v>
      </c>
      <c r="L34" s="7">
        <v>499893.31</v>
      </c>
      <c r="M34" s="6"/>
      <c r="N34" s="7">
        <v>0</v>
      </c>
      <c r="O34" s="6"/>
      <c r="P34" s="7">
        <v>0</v>
      </c>
      <c r="Q34" s="6"/>
      <c r="R34" s="7">
        <v>0</v>
      </c>
      <c r="S34" s="6"/>
      <c r="T34" s="7">
        <v>0</v>
      </c>
      <c r="U34" s="6"/>
      <c r="V34" s="7">
        <v>0</v>
      </c>
      <c r="W34" s="6"/>
      <c r="X34" s="7">
        <v>993793.41</v>
      </c>
    </row>
  </sheetData>
  <autoFilter ref="A1:X34" xr:uid="{ED7ADB55-E817-420F-874A-CC6B8E01D6BE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1858-2CB3-493F-879F-2979296F5C9A}">
  <dimension ref="A1:L29"/>
  <sheetViews>
    <sheetView tabSelected="1" zoomScaleNormal="100" workbookViewId="0">
      <pane xSplit="1" ySplit="2" topLeftCell="B5" activePane="bottomRight" state="frozen"/>
      <selection pane="topRight" activeCell="B1" sqref="B1"/>
      <selection pane="bottomLeft" activeCell="A3" sqref="A3"/>
      <selection pane="bottomRight" activeCell="L9" sqref="L9"/>
    </sheetView>
  </sheetViews>
  <sheetFormatPr defaultRowHeight="12.5" x14ac:dyDescent="0.25"/>
  <cols>
    <col min="1" max="1" width="10.81640625" bestFit="1" customWidth="1"/>
    <col min="2" max="2" width="11.7265625" customWidth="1"/>
    <col min="3" max="3" width="9.54296875" customWidth="1"/>
    <col min="4" max="4" width="22.26953125" customWidth="1"/>
    <col min="5" max="5" width="10" customWidth="1"/>
    <col min="6" max="6" width="9.90625" customWidth="1"/>
    <col min="7" max="7" width="12.1796875" customWidth="1"/>
    <col min="8" max="8" width="9.54296875" customWidth="1"/>
    <col min="9" max="9" width="9.7265625" customWidth="1"/>
    <col min="10" max="10" width="14" customWidth="1"/>
    <col min="11" max="11" width="10.81640625" bestFit="1" customWidth="1"/>
  </cols>
  <sheetData>
    <row r="1" spans="1:11" x14ac:dyDescent="0.25">
      <c r="A1" s="12" t="s">
        <v>62</v>
      </c>
      <c r="B1" s="12"/>
      <c r="C1" s="12"/>
      <c r="D1" s="12"/>
      <c r="E1" s="12"/>
      <c r="G1" s="13" t="s">
        <v>61</v>
      </c>
      <c r="H1" s="13"/>
    </row>
    <row r="2" spans="1:11" x14ac:dyDescent="0.25">
      <c r="B2" t="s">
        <v>58</v>
      </c>
      <c r="C2" t="s">
        <v>11</v>
      </c>
      <c r="D2" t="s">
        <v>59</v>
      </c>
      <c r="E2" t="s">
        <v>60</v>
      </c>
      <c r="G2" t="s">
        <v>58</v>
      </c>
      <c r="H2" t="s">
        <v>11</v>
      </c>
      <c r="J2" t="s">
        <v>57</v>
      </c>
    </row>
    <row r="3" spans="1:11" x14ac:dyDescent="0.25">
      <c r="A3" t="s">
        <v>0</v>
      </c>
      <c r="C3">
        <v>2097.1379999999999</v>
      </c>
      <c r="E3">
        <f>SUM(C3+D3)</f>
        <v>2097.1379999999999</v>
      </c>
      <c r="H3">
        <f>945.4*2.204</f>
        <v>2083.6615999999999</v>
      </c>
      <c r="J3">
        <f>E3-H3</f>
        <v>13.476400000000012</v>
      </c>
    </row>
    <row r="4" spans="1:11" x14ac:dyDescent="0.25">
      <c r="A4" t="s">
        <v>6</v>
      </c>
      <c r="C4">
        <v>30590.713</v>
      </c>
      <c r="D4">
        <v>9053.1859999999997</v>
      </c>
      <c r="E4">
        <f t="shared" ref="E4:E29" si="0">SUM(C4+D4)</f>
        <v>39643.898999999998</v>
      </c>
      <c r="H4">
        <f>17986.19*2.204</f>
        <v>39641.562760000001</v>
      </c>
      <c r="J4">
        <f t="shared" ref="J4:J29" si="1">E4-H4</f>
        <v>2.3362399999969057</v>
      </c>
    </row>
    <row r="5" spans="1:11" x14ac:dyDescent="0.25">
      <c r="A5" t="s">
        <v>7</v>
      </c>
      <c r="C5">
        <v>36933.035000000003</v>
      </c>
      <c r="D5">
        <v>10973.481</v>
      </c>
      <c r="E5">
        <f t="shared" si="0"/>
        <v>47906.516000000003</v>
      </c>
      <c r="H5">
        <f>21737.61*2.204</f>
        <v>47909.692440000006</v>
      </c>
      <c r="J5">
        <f t="shared" si="1"/>
        <v>-3.1764400000029127</v>
      </c>
    </row>
    <row r="6" spans="1:11" x14ac:dyDescent="0.25">
      <c r="A6" t="s">
        <v>8</v>
      </c>
      <c r="C6">
        <v>10136.903</v>
      </c>
      <c r="D6">
        <v>3499.3939999999998</v>
      </c>
      <c r="E6">
        <f t="shared" si="0"/>
        <v>13636.297</v>
      </c>
      <c r="H6">
        <f>6184.15*2.204</f>
        <v>13629.866600000001</v>
      </c>
      <c r="J6">
        <f t="shared" si="1"/>
        <v>6.4303999999992811</v>
      </c>
    </row>
    <row r="7" spans="1:11" x14ac:dyDescent="0.25">
      <c r="A7" s="11" t="s">
        <v>9</v>
      </c>
      <c r="B7" s="11" t="s">
        <v>10</v>
      </c>
      <c r="C7" s="11">
        <v>1</v>
      </c>
      <c r="D7" s="11"/>
      <c r="E7" s="11">
        <f t="shared" si="0"/>
        <v>1</v>
      </c>
      <c r="F7" s="11"/>
      <c r="G7" s="11" t="s">
        <v>10</v>
      </c>
      <c r="H7" s="11">
        <v>0</v>
      </c>
      <c r="I7" s="11"/>
      <c r="J7" s="11">
        <f t="shared" si="1"/>
        <v>1</v>
      </c>
    </row>
    <row r="8" spans="1:11" x14ac:dyDescent="0.25">
      <c r="A8" t="s">
        <v>9</v>
      </c>
      <c r="B8" t="s">
        <v>12</v>
      </c>
      <c r="C8">
        <v>181</v>
      </c>
      <c r="E8">
        <f t="shared" si="0"/>
        <v>181</v>
      </c>
      <c r="G8" t="s">
        <v>12</v>
      </c>
      <c r="H8">
        <v>181</v>
      </c>
      <c r="J8">
        <f t="shared" si="1"/>
        <v>0</v>
      </c>
    </row>
    <row r="9" spans="1:11" x14ac:dyDescent="0.25">
      <c r="A9" t="s">
        <v>9</v>
      </c>
      <c r="B9" t="s">
        <v>13</v>
      </c>
      <c r="C9">
        <v>400</v>
      </c>
      <c r="E9">
        <f t="shared" si="0"/>
        <v>400</v>
      </c>
      <c r="G9" t="s">
        <v>13</v>
      </c>
      <c r="H9">
        <v>400</v>
      </c>
      <c r="J9">
        <f t="shared" si="1"/>
        <v>0</v>
      </c>
    </row>
    <row r="10" spans="1:11" x14ac:dyDescent="0.25">
      <c r="A10" s="11" t="s">
        <v>14</v>
      </c>
      <c r="B10" s="11" t="s">
        <v>15</v>
      </c>
      <c r="C10" s="11">
        <v>5</v>
      </c>
      <c r="D10" s="11"/>
      <c r="E10" s="11">
        <f t="shared" si="0"/>
        <v>5</v>
      </c>
      <c r="F10" s="11"/>
      <c r="G10" s="11" t="s">
        <v>15</v>
      </c>
      <c r="H10" s="11">
        <v>0</v>
      </c>
      <c r="I10" s="11"/>
      <c r="J10" s="11">
        <f t="shared" si="1"/>
        <v>5</v>
      </c>
      <c r="K10">
        <v>4904135937</v>
      </c>
    </row>
    <row r="11" spans="1:11" x14ac:dyDescent="0.25">
      <c r="A11" t="s">
        <v>14</v>
      </c>
      <c r="B11" t="s">
        <v>16</v>
      </c>
      <c r="C11">
        <v>72</v>
      </c>
      <c r="E11">
        <f t="shared" si="0"/>
        <v>72</v>
      </c>
      <c r="G11" t="s">
        <v>16</v>
      </c>
      <c r="H11">
        <v>72</v>
      </c>
      <c r="J11">
        <f t="shared" si="1"/>
        <v>0</v>
      </c>
    </row>
    <row r="12" spans="1:11" x14ac:dyDescent="0.25">
      <c r="A12" t="s">
        <v>14</v>
      </c>
      <c r="B12" t="s">
        <v>17</v>
      </c>
      <c r="C12">
        <v>9</v>
      </c>
      <c r="E12">
        <f t="shared" si="0"/>
        <v>9</v>
      </c>
      <c r="G12" t="s">
        <v>17</v>
      </c>
      <c r="H12">
        <v>9</v>
      </c>
      <c r="J12">
        <f t="shared" si="1"/>
        <v>0</v>
      </c>
    </row>
    <row r="13" spans="1:11" x14ac:dyDescent="0.25">
      <c r="A13" t="s">
        <v>18</v>
      </c>
      <c r="B13" t="s">
        <v>16</v>
      </c>
      <c r="C13">
        <v>1523</v>
      </c>
      <c r="E13">
        <f t="shared" si="0"/>
        <v>1523</v>
      </c>
      <c r="G13" t="s">
        <v>16</v>
      </c>
      <c r="H13">
        <v>1523</v>
      </c>
      <c r="J13">
        <f t="shared" si="1"/>
        <v>0</v>
      </c>
    </row>
    <row r="14" spans="1:11" x14ac:dyDescent="0.25">
      <c r="A14" t="s">
        <v>18</v>
      </c>
      <c r="B14" t="s">
        <v>17</v>
      </c>
      <c r="C14">
        <v>565</v>
      </c>
      <c r="E14">
        <f t="shared" si="0"/>
        <v>565</v>
      </c>
      <c r="G14" t="s">
        <v>17</v>
      </c>
      <c r="H14">
        <v>565</v>
      </c>
      <c r="J14">
        <f t="shared" si="1"/>
        <v>0</v>
      </c>
    </row>
    <row r="15" spans="1:11" x14ac:dyDescent="0.25">
      <c r="A15" t="s">
        <v>19</v>
      </c>
      <c r="B15" t="s">
        <v>16</v>
      </c>
      <c r="C15">
        <v>1471</v>
      </c>
      <c r="E15">
        <f t="shared" si="0"/>
        <v>1471</v>
      </c>
      <c r="G15" t="s">
        <v>16</v>
      </c>
      <c r="H15">
        <v>1471</v>
      </c>
      <c r="J15">
        <f t="shared" si="1"/>
        <v>0</v>
      </c>
    </row>
    <row r="16" spans="1:11" x14ac:dyDescent="0.25">
      <c r="A16" t="s">
        <v>19</v>
      </c>
      <c r="B16" t="s">
        <v>17</v>
      </c>
      <c r="C16">
        <v>635</v>
      </c>
      <c r="E16">
        <f t="shared" si="0"/>
        <v>635</v>
      </c>
      <c r="G16" t="s">
        <v>17</v>
      </c>
      <c r="H16">
        <v>635</v>
      </c>
      <c r="J16">
        <f t="shared" si="1"/>
        <v>0</v>
      </c>
    </row>
    <row r="17" spans="1:12" x14ac:dyDescent="0.25">
      <c r="A17" t="s">
        <v>20</v>
      </c>
      <c r="B17" t="s">
        <v>17</v>
      </c>
      <c r="C17">
        <v>45</v>
      </c>
      <c r="E17">
        <f t="shared" si="0"/>
        <v>45</v>
      </c>
      <c r="G17" t="s">
        <v>17</v>
      </c>
      <c r="H17">
        <v>45</v>
      </c>
      <c r="J17">
        <f t="shared" si="1"/>
        <v>0</v>
      </c>
    </row>
    <row r="18" spans="1:12" x14ac:dyDescent="0.25">
      <c r="A18" t="s">
        <v>21</v>
      </c>
      <c r="B18" t="s">
        <v>17</v>
      </c>
      <c r="C18">
        <v>55</v>
      </c>
      <c r="E18">
        <f t="shared" si="0"/>
        <v>55</v>
      </c>
      <c r="G18" t="s">
        <v>17</v>
      </c>
      <c r="H18">
        <v>55</v>
      </c>
      <c r="J18">
        <f t="shared" si="1"/>
        <v>0</v>
      </c>
    </row>
    <row r="19" spans="1:12" x14ac:dyDescent="0.25">
      <c r="A19" t="s">
        <v>21</v>
      </c>
      <c r="B19" t="s">
        <v>16</v>
      </c>
      <c r="C19">
        <v>237</v>
      </c>
      <c r="E19">
        <f t="shared" si="0"/>
        <v>237</v>
      </c>
      <c r="G19" t="s">
        <v>16</v>
      </c>
      <c r="H19">
        <v>237</v>
      </c>
      <c r="J19">
        <f t="shared" si="1"/>
        <v>0</v>
      </c>
    </row>
    <row r="20" spans="1:12" x14ac:dyDescent="0.25">
      <c r="A20" s="11" t="s">
        <v>21</v>
      </c>
      <c r="B20" s="11" t="s">
        <v>22</v>
      </c>
      <c r="C20" s="11">
        <v>1</v>
      </c>
      <c r="D20" s="11"/>
      <c r="E20" s="11">
        <f t="shared" si="0"/>
        <v>1</v>
      </c>
      <c r="F20" s="11"/>
      <c r="G20" s="11" t="s">
        <v>22</v>
      </c>
      <c r="H20" s="11">
        <v>0</v>
      </c>
      <c r="I20" s="11"/>
      <c r="J20" s="11">
        <f t="shared" si="1"/>
        <v>1</v>
      </c>
    </row>
    <row r="21" spans="1:12" x14ac:dyDescent="0.25">
      <c r="A21" s="11" t="s">
        <v>21</v>
      </c>
      <c r="B21" s="11" t="s">
        <v>23</v>
      </c>
      <c r="C21" s="11">
        <v>1</v>
      </c>
      <c r="D21" s="11"/>
      <c r="E21" s="11">
        <f t="shared" si="0"/>
        <v>1</v>
      </c>
      <c r="F21" s="11"/>
      <c r="G21" s="11" t="s">
        <v>23</v>
      </c>
      <c r="H21" s="11">
        <v>0</v>
      </c>
      <c r="I21" s="11"/>
      <c r="J21" s="11">
        <f t="shared" si="1"/>
        <v>1</v>
      </c>
    </row>
    <row r="22" spans="1:12" x14ac:dyDescent="0.25">
      <c r="A22" s="11" t="s">
        <v>24</v>
      </c>
      <c r="B22" s="11" t="s">
        <v>25</v>
      </c>
      <c r="C22" s="11">
        <v>1</v>
      </c>
      <c r="D22" s="11"/>
      <c r="E22" s="11">
        <f t="shared" si="0"/>
        <v>1</v>
      </c>
      <c r="F22" s="11"/>
      <c r="G22" s="11" t="s">
        <v>25</v>
      </c>
      <c r="H22" s="11">
        <v>0</v>
      </c>
      <c r="I22" s="11"/>
      <c r="J22" s="11">
        <f t="shared" si="1"/>
        <v>1</v>
      </c>
    </row>
    <row r="23" spans="1:12" x14ac:dyDescent="0.25">
      <c r="A23" t="s">
        <v>26</v>
      </c>
      <c r="B23" t="s">
        <v>17</v>
      </c>
      <c r="C23">
        <v>350</v>
      </c>
      <c r="E23">
        <f t="shared" si="0"/>
        <v>350</v>
      </c>
      <c r="G23" t="s">
        <v>17</v>
      </c>
      <c r="H23">
        <v>350</v>
      </c>
      <c r="J23">
        <f t="shared" si="1"/>
        <v>0</v>
      </c>
    </row>
    <row r="24" spans="1:12" x14ac:dyDescent="0.25">
      <c r="A24" s="11" t="s">
        <v>27</v>
      </c>
      <c r="B24" s="11" t="s">
        <v>28</v>
      </c>
      <c r="C24" s="11">
        <v>1</v>
      </c>
      <c r="D24" s="11"/>
      <c r="E24" s="11">
        <f t="shared" si="0"/>
        <v>1</v>
      </c>
      <c r="F24" s="11"/>
      <c r="G24" s="11" t="s">
        <v>28</v>
      </c>
      <c r="H24" s="11">
        <v>0</v>
      </c>
      <c r="I24" s="11"/>
      <c r="J24" s="11">
        <f t="shared" si="1"/>
        <v>1</v>
      </c>
      <c r="K24">
        <v>4904135932</v>
      </c>
      <c r="L24" t="s">
        <v>63</v>
      </c>
    </row>
    <row r="25" spans="1:12" x14ac:dyDescent="0.25">
      <c r="A25" t="s">
        <v>27</v>
      </c>
      <c r="B25" t="s">
        <v>17</v>
      </c>
      <c r="C25">
        <v>400</v>
      </c>
      <c r="E25">
        <f t="shared" si="0"/>
        <v>400</v>
      </c>
      <c r="G25" t="s">
        <v>17</v>
      </c>
      <c r="H25">
        <v>400</v>
      </c>
      <c r="J25">
        <f t="shared" si="1"/>
        <v>0</v>
      </c>
    </row>
    <row r="26" spans="1:12" x14ac:dyDescent="0.25">
      <c r="A26" s="11" t="s">
        <v>29</v>
      </c>
      <c r="B26" s="11" t="s">
        <v>23</v>
      </c>
      <c r="C26" s="11">
        <v>1</v>
      </c>
      <c r="D26" s="11"/>
      <c r="E26" s="11">
        <f t="shared" si="0"/>
        <v>1</v>
      </c>
      <c r="F26" s="11"/>
      <c r="G26" s="11" t="s">
        <v>23</v>
      </c>
      <c r="H26" s="11">
        <v>0</v>
      </c>
      <c r="I26" s="11"/>
      <c r="J26" s="11">
        <f t="shared" si="1"/>
        <v>1</v>
      </c>
      <c r="K26">
        <v>4904135933</v>
      </c>
    </row>
    <row r="27" spans="1:12" x14ac:dyDescent="0.25">
      <c r="A27" s="11" t="s">
        <v>30</v>
      </c>
      <c r="B27" s="11" t="s">
        <v>31</v>
      </c>
      <c r="C27" s="11">
        <v>4</v>
      </c>
      <c r="D27" s="11"/>
      <c r="E27" s="11">
        <f t="shared" si="0"/>
        <v>4</v>
      </c>
      <c r="F27" s="11"/>
      <c r="G27" s="11" t="s">
        <v>31</v>
      </c>
      <c r="H27" s="11">
        <v>0</v>
      </c>
      <c r="I27" s="11"/>
      <c r="J27" s="11">
        <f t="shared" si="1"/>
        <v>4</v>
      </c>
      <c r="K27">
        <v>4904135936</v>
      </c>
    </row>
    <row r="28" spans="1:12" x14ac:dyDescent="0.25">
      <c r="A28" t="s">
        <v>32</v>
      </c>
      <c r="B28" t="s">
        <v>16</v>
      </c>
      <c r="C28">
        <v>509</v>
      </c>
      <c r="E28">
        <f t="shared" si="0"/>
        <v>509</v>
      </c>
      <c r="G28" t="s">
        <v>16</v>
      </c>
      <c r="H28">
        <v>509</v>
      </c>
      <c r="J28">
        <f t="shared" si="1"/>
        <v>0</v>
      </c>
    </row>
    <row r="29" spans="1:12" x14ac:dyDescent="0.25">
      <c r="A29" t="s">
        <v>32</v>
      </c>
      <c r="B29" t="s">
        <v>17</v>
      </c>
      <c r="C29">
        <v>189</v>
      </c>
      <c r="E29">
        <f t="shared" si="0"/>
        <v>189</v>
      </c>
      <c r="G29" t="s">
        <v>17</v>
      </c>
      <c r="H29">
        <v>189</v>
      </c>
      <c r="J29">
        <f t="shared" si="1"/>
        <v>0</v>
      </c>
    </row>
  </sheetData>
  <mergeCells count="2">
    <mergeCell ref="A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SAP STOK</vt:lpstr>
      <vt:lpstr>Perbandingan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Rizal, Fahrul</cp:lastModifiedBy>
  <cp:revision>1</cp:revision>
  <dcterms:modified xsi:type="dcterms:W3CDTF">2020-01-23T08:04:37Z</dcterms:modified>
  <cp:category/>
</cp:coreProperties>
</file>